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.haidari\Desktop\"/>
    </mc:Choice>
  </mc:AlternateContent>
  <bookViews>
    <workbookView xWindow="-120" yWindow="-120" windowWidth="24240" windowHeight="13020"/>
  </bookViews>
  <sheets>
    <sheet name="Sheet1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J2" i="1"/>
  <c r="N2" i="1"/>
  <c r="M2" i="1"/>
  <c r="L2" i="1"/>
  <c r="K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<sst xmlns="http://schemas.openxmlformats.org/spreadsheetml/2006/main" count="35" uniqueCount="16">
  <si>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</si>
  <si>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</si>
  <si>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</si>
  <si>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</si>
  <si>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</si>
  <si>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</si>
  <si>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</si>
  <si>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</si>
  <si>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</si>
  <si>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</si>
  <si>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</si>
  <si>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</si>
  <si>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</si>
  <si>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</si>
  <si>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</si>
  <si>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REG:10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</si>
</sst>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1"/>
  <sheetViews>
    <sheetView tabSelected="1" topLeftCell="A16" workbookViewId="0">
      <selection activeCell="H32" sqref="H32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2" style="4" customWidth="1"/>
    <col min="5" max="5" width="18.7109375" style="4" bestFit="1" customWidth="1"/>
    <col min="6" max="6" width="10" style="4" bestFit="1" customWidth="1"/>
    <col min="7" max="7" width="12.710937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5">
      <c r="A2" s="1"/>
      <c r="B2" s="2">
        <f ca="1">TODAY()</f>
        <v>45955</v>
      </c>
      <c r="C2" s="1" t="s">
        <v>8</v>
      </c>
      <c r="D2" s="10">
        <v>749878124</v>
      </c>
      <c r="E2" s="10">
        <v>100</v>
      </c>
      <c r="F2" s="1"/>
      <c r="G2" s="1"/>
      <c r="H2" s="10">
        <v>799252368</v>
      </c>
      <c r="I2" s="1" t="s">
        <v>15</v>
      </c>
      <c r="J2" s="6">
        <f>COUNTIFS(C:C,"SIM",D:D,"&lt;&gt;")</f>
        <v>20</v>
      </c>
      <c r="K2" s="6">
        <f>COUNTIFS(C:C,"SWAP",D:D,"&lt;&gt;")</f>
        <v>0</v>
      </c>
      <c r="L2" s="6">
        <f>SUM(F:F)</f>
        <v>0</v>
      </c>
      <c r="M2" s="6">
        <f>SUM(G:G)</f>
        <v>0</v>
      </c>
      <c r="N2" s="6">
        <f>SUM(E:E)</f>
        <v>1300</v>
      </c>
    </row>
    <row r="3" spans="1:17" ht="15" customHeight="1" x14ac:dyDescent="0.25">
      <c r="A3" s="1"/>
      <c r="B3" s="2">
        <f t="shared" ref="B3:B41" ca="1" si="0">TODAY()</f>
        <v>45955</v>
      </c>
      <c r="C3" s="1" t="s">
        <v>8</v>
      </c>
      <c r="D3" s="10">
        <v>749260327</v>
      </c>
      <c r="E3" s="10">
        <v>100</v>
      </c>
      <c r="F3" s="1"/>
      <c r="G3" s="1"/>
      <c r="H3" s="10">
        <v>707115532</v>
      </c>
      <c r="I3" s="1"/>
      <c r="K3" s="9"/>
      <c r="L3" s="9"/>
      <c r="M3" s="9"/>
      <c r="N3" s="9"/>
      <c r="O3" s="9"/>
      <c r="P3" s="9"/>
      <c r="Q3" s="9"/>
    </row>
    <row r="4" spans="1:17" x14ac:dyDescent="0.25">
      <c r="A4" s="1"/>
      <c r="B4" s="2">
        <f t="shared" ca="1" si="0"/>
        <v>45955</v>
      </c>
      <c r="C4" s="1" t="s">
        <v>8</v>
      </c>
      <c r="D4" s="10">
        <v>749705978</v>
      </c>
      <c r="E4" s="10">
        <v>100</v>
      </c>
      <c r="F4" s="1"/>
      <c r="G4" s="1"/>
      <c r="H4" s="10">
        <v>707115532</v>
      </c>
      <c r="I4" s="1"/>
      <c r="K4" s="9"/>
      <c r="L4" s="9"/>
      <c r="M4" s="9"/>
      <c r="N4" s="9"/>
      <c r="O4" s="9"/>
      <c r="P4" s="9"/>
      <c r="Q4" s="9"/>
    </row>
    <row r="5" spans="1:17" x14ac:dyDescent="0.25">
      <c r="A5" s="1"/>
      <c r="B5" s="2">
        <f t="shared" ca="1" si="0"/>
        <v>45955</v>
      </c>
      <c r="C5" s="1" t="s">
        <v>8</v>
      </c>
      <c r="D5" s="10">
        <v>749844356</v>
      </c>
      <c r="E5" s="10">
        <v>100</v>
      </c>
      <c r="F5" s="1"/>
      <c r="G5" s="1"/>
      <c r="H5" s="10">
        <v>707115532</v>
      </c>
      <c r="I5" s="1"/>
      <c r="K5" s="9"/>
      <c r="L5" s="9"/>
      <c r="M5" s="9"/>
      <c r="N5" s="9"/>
      <c r="O5" s="9"/>
      <c r="P5" s="9"/>
      <c r="Q5" s="9"/>
    </row>
    <row r="6" spans="1:17" x14ac:dyDescent="0.25">
      <c r="A6" s="1"/>
      <c r="B6" s="2">
        <f t="shared" ca="1" si="0"/>
        <v>45955</v>
      </c>
      <c r="C6" s="1" t="s">
        <v>8</v>
      </c>
      <c r="D6" s="10">
        <v>749380828</v>
      </c>
      <c r="E6" s="10">
        <v>50</v>
      </c>
      <c r="F6" s="1"/>
      <c r="G6" s="1"/>
      <c r="H6" s="10">
        <v>798100493</v>
      </c>
      <c r="I6" s="1"/>
      <c r="K6" s="9"/>
      <c r="L6" s="9"/>
      <c r="M6" s="9"/>
      <c r="N6" s="9"/>
      <c r="O6" s="9"/>
      <c r="P6" s="9"/>
      <c r="Q6" s="9"/>
    </row>
    <row r="7" spans="1:17" x14ac:dyDescent="0.25">
      <c r="A7" s="1"/>
      <c r="B7" s="2">
        <f t="shared" ca="1" si="0"/>
        <v>45955</v>
      </c>
      <c r="C7" s="1" t="s">
        <v>8</v>
      </c>
      <c r="D7" s="10">
        <v>749852912</v>
      </c>
      <c r="E7" s="10">
        <v>50</v>
      </c>
      <c r="F7" s="1"/>
      <c r="G7" s="1"/>
      <c r="H7" s="10">
        <v>798100493</v>
      </c>
      <c r="I7" s="1"/>
      <c r="K7" s="9"/>
      <c r="L7" s="9"/>
      <c r="M7" s="9"/>
      <c r="N7" s="9"/>
      <c r="O7" s="9"/>
      <c r="P7" s="9"/>
      <c r="Q7" s="9"/>
    </row>
    <row r="8" spans="1:17" x14ac:dyDescent="0.25">
      <c r="A8" s="1"/>
      <c r="B8" s="2">
        <f t="shared" ca="1" si="0"/>
        <v>45955</v>
      </c>
      <c r="C8" s="1" t="s">
        <v>8</v>
      </c>
      <c r="D8" s="10">
        <v>749705562</v>
      </c>
      <c r="E8" s="10">
        <v>0</v>
      </c>
      <c r="F8" s="1"/>
      <c r="G8" s="1"/>
      <c r="H8" s="10">
        <v>792790867</v>
      </c>
      <c r="I8" s="1"/>
      <c r="K8" s="9"/>
      <c r="L8" s="9"/>
      <c r="M8" s="9"/>
      <c r="N8" s="9"/>
      <c r="O8" s="9"/>
      <c r="P8" s="9"/>
      <c r="Q8" s="9"/>
    </row>
    <row r="9" spans="1:17" x14ac:dyDescent="0.25">
      <c r="A9" s="1"/>
      <c r="B9" s="2">
        <f t="shared" ca="1" si="0"/>
        <v>45955</v>
      </c>
      <c r="C9" s="1" t="s">
        <v>8</v>
      </c>
      <c r="D9" s="10">
        <v>749882288</v>
      </c>
      <c r="E9" s="10">
        <v>100</v>
      </c>
      <c r="F9" s="1"/>
      <c r="G9" s="1"/>
      <c r="H9" s="10">
        <v>706360025</v>
      </c>
      <c r="I9" s="1"/>
      <c r="O9" s="9"/>
      <c r="P9" s="9"/>
      <c r="Q9" s="9"/>
    </row>
    <row r="10" spans="1:17" x14ac:dyDescent="0.25">
      <c r="A10" s="1"/>
      <c r="B10" s="2">
        <f t="shared" ca="1" si="0"/>
        <v>45955</v>
      </c>
      <c r="C10" s="1" t="s">
        <v>8</v>
      </c>
      <c r="D10" s="10">
        <v>749830840</v>
      </c>
      <c r="E10" s="10">
        <v>100</v>
      </c>
      <c r="F10" s="1"/>
      <c r="G10" s="1"/>
      <c r="H10" s="10">
        <v>706360025</v>
      </c>
      <c r="I10" s="1"/>
      <c r="O10" s="9"/>
      <c r="P10" s="9"/>
      <c r="Q10" s="9"/>
    </row>
    <row r="11" spans="1:17" x14ac:dyDescent="0.25">
      <c r="A11" s="1"/>
      <c r="B11" s="2">
        <f t="shared" ca="1" si="0"/>
        <v>45955</v>
      </c>
      <c r="C11" s="1" t="s">
        <v>8</v>
      </c>
      <c r="D11" s="10">
        <v>749834159</v>
      </c>
      <c r="E11" s="10">
        <v>100</v>
      </c>
      <c r="F11" s="1"/>
      <c r="G11" s="1"/>
      <c r="H11" s="10">
        <v>787408966</v>
      </c>
      <c r="I11" s="1"/>
      <c r="K11" s="9"/>
      <c r="L11" s="9"/>
      <c r="M11" s="9"/>
      <c r="N11" s="9"/>
      <c r="O11" s="9"/>
      <c r="P11" s="9"/>
      <c r="Q11" s="9"/>
    </row>
    <row r="12" spans="1:17" ht="15" customHeight="1" x14ac:dyDescent="0.25">
      <c r="A12" s="1"/>
      <c r="B12" s="2">
        <f t="shared" ca="1" si="0"/>
        <v>45955</v>
      </c>
      <c r="C12" s="1" t="s">
        <v>8</v>
      </c>
      <c r="D12" s="10">
        <v>749383773</v>
      </c>
      <c r="E12" s="10">
        <v>0</v>
      </c>
      <c r="F12" s="1"/>
      <c r="G12" s="1"/>
      <c r="H12" s="10">
        <v>707335481</v>
      </c>
      <c r="I12" s="1"/>
      <c r="K12" s="9"/>
      <c r="L12" s="9"/>
      <c r="M12" s="9"/>
      <c r="N12" s="9"/>
      <c r="O12" s="9"/>
      <c r="P12" s="9"/>
      <c r="Q12" s="9"/>
    </row>
    <row r="13" spans="1:17" x14ac:dyDescent="0.25">
      <c r="A13" s="1"/>
      <c r="B13" s="2">
        <f t="shared" ca="1" si="0"/>
        <v>45955</v>
      </c>
      <c r="C13" s="1" t="s">
        <v>8</v>
      </c>
      <c r="D13" s="10">
        <v>749333808</v>
      </c>
      <c r="E13" s="10">
        <v>0</v>
      </c>
      <c r="F13" s="1"/>
      <c r="G13" s="1"/>
      <c r="H13" s="10">
        <v>707335481</v>
      </c>
      <c r="I13" s="1"/>
      <c r="K13" s="9"/>
      <c r="L13" s="9"/>
      <c r="M13" s="9"/>
      <c r="N13" s="9"/>
      <c r="O13" s="9"/>
      <c r="P13" s="9"/>
      <c r="Q13" s="9"/>
    </row>
    <row r="14" spans="1:17" x14ac:dyDescent="0.25">
      <c r="A14" s="1"/>
      <c r="B14" s="2">
        <f t="shared" ca="1" si="0"/>
        <v>45955</v>
      </c>
      <c r="C14" s="1" t="s">
        <v>8</v>
      </c>
      <c r="D14" s="10">
        <v>749847570</v>
      </c>
      <c r="E14" s="10">
        <v>100</v>
      </c>
      <c r="F14" s="1"/>
      <c r="G14" s="1"/>
      <c r="H14" s="10">
        <v>744616646</v>
      </c>
      <c r="I14" s="1"/>
      <c r="K14" s="9"/>
      <c r="L14" s="9"/>
      <c r="M14" s="9"/>
      <c r="N14" s="9"/>
      <c r="O14" s="9"/>
      <c r="P14" s="9"/>
      <c r="Q14" s="9"/>
    </row>
    <row r="15" spans="1:17" x14ac:dyDescent="0.25">
      <c r="A15" s="1"/>
      <c r="B15" s="2">
        <f t="shared" ca="1" si="0"/>
        <v>45955</v>
      </c>
      <c r="C15" s="1" t="s">
        <v>8</v>
      </c>
      <c r="D15" s="10">
        <v>749815424</v>
      </c>
      <c r="E15" s="10">
        <v>100</v>
      </c>
      <c r="F15" s="1"/>
      <c r="G15" s="1"/>
      <c r="H15" s="10">
        <v>744616646</v>
      </c>
      <c r="I15" s="1"/>
      <c r="K15" s="9"/>
      <c r="L15" s="9"/>
      <c r="M15" s="9"/>
      <c r="N15" s="9"/>
      <c r="O15" s="9"/>
      <c r="P15" s="9"/>
      <c r="Q15" s="9"/>
    </row>
    <row r="16" spans="1:17" x14ac:dyDescent="0.25">
      <c r="A16" s="1"/>
      <c r="B16" s="2">
        <f t="shared" ca="1" si="0"/>
        <v>45955</v>
      </c>
      <c r="C16" s="1" t="s">
        <v>8</v>
      </c>
      <c r="D16" s="10">
        <v>749637060</v>
      </c>
      <c r="E16" s="10">
        <v>100</v>
      </c>
      <c r="F16" s="1"/>
      <c r="G16" s="1"/>
      <c r="H16" s="10">
        <v>798343846</v>
      </c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/>
      <c r="B17" s="2">
        <f t="shared" ca="1" si="0"/>
        <v>45955</v>
      </c>
      <c r="C17" s="1" t="s">
        <v>8</v>
      </c>
      <c r="D17" s="10">
        <v>749386379</v>
      </c>
      <c r="E17" s="10">
        <v>50</v>
      </c>
      <c r="F17" s="1"/>
      <c r="G17" s="1"/>
      <c r="H17" s="10">
        <v>795729732</v>
      </c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/>
      <c r="B18" s="2">
        <f t="shared" ca="1" si="0"/>
        <v>45955</v>
      </c>
      <c r="C18" s="1" t="s">
        <v>8</v>
      </c>
      <c r="D18" s="10">
        <v>749904684</v>
      </c>
      <c r="E18" s="10">
        <v>0</v>
      </c>
      <c r="F18" s="1"/>
      <c r="G18" s="1"/>
      <c r="H18" s="10">
        <v>795729732</v>
      </c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/>
      <c r="B19" s="2">
        <f t="shared" ca="1" si="0"/>
        <v>45955</v>
      </c>
      <c r="C19" s="1" t="s">
        <v>8</v>
      </c>
      <c r="D19" s="10">
        <v>749367317</v>
      </c>
      <c r="E19" s="10">
        <v>0</v>
      </c>
      <c r="F19" s="1"/>
      <c r="G19" s="1"/>
      <c r="H19" s="10">
        <v>795729732</v>
      </c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/>
      <c r="B20" s="2">
        <f t="shared" ca="1" si="0"/>
        <v>45955</v>
      </c>
      <c r="C20" s="1" t="s">
        <v>8</v>
      </c>
      <c r="D20" s="10">
        <v>749876607</v>
      </c>
      <c r="E20" s="10">
        <v>100</v>
      </c>
      <c r="F20" s="1"/>
      <c r="G20" s="1"/>
      <c r="H20" s="10">
        <v>748568973</v>
      </c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/>
      <c r="B21" s="2">
        <f t="shared" ca="1" si="0"/>
        <v>45955</v>
      </c>
      <c r="C21" s="1" t="s">
        <v>8</v>
      </c>
      <c r="D21" s="10">
        <v>749857584</v>
      </c>
      <c r="E21" s="10">
        <v>50</v>
      </c>
      <c r="F21" s="1"/>
      <c r="G21" s="1"/>
      <c r="H21" s="10">
        <v>711571812</v>
      </c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/>
      <c r="B22" s="2"/>
      <c r="C22" s="1"/>
      <c r="D22" s="3"/>
      <c r="E22" s="3"/>
      <c r="F22" s="1"/>
      <c r="G22" s="1"/>
      <c r="H22" s="1"/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/>
      <c r="B23" s="2"/>
      <c r="C23" s="1"/>
      <c r="D23" s="3"/>
      <c r="E23" s="3"/>
      <c r="F23" s="1"/>
      <c r="G23" s="1"/>
      <c r="H23" s="1"/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/>
      <c r="B24" s="2"/>
      <c r="C24" s="1"/>
      <c r="D24" s="3"/>
      <c r="E24" s="3"/>
      <c r="F24" s="1"/>
      <c r="G24" s="1"/>
      <c r="H24" s="1"/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/>
      <c r="B25" s="2"/>
      <c r="C25" s="1"/>
      <c r="D25" s="3"/>
      <c r="E25" s="3"/>
      <c r="F25" s="1"/>
      <c r="G25" s="1"/>
      <c r="H25" s="1"/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/>
      <c r="B26" s="2"/>
      <c r="C26" s="1"/>
      <c r="D26" s="3"/>
      <c r="E26" s="3"/>
      <c r="F26" s="1"/>
      <c r="G26" s="1"/>
      <c r="H26" s="1"/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/>
      <c r="B27" s="2"/>
      <c r="C27" s="1"/>
      <c r="D27" s="3"/>
      <c r="E27" s="3"/>
      <c r="F27" s="1"/>
      <c r="G27" s="1"/>
      <c r="H27" s="1"/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/>
      <c r="B28" s="2"/>
      <c r="C28" s="1"/>
      <c r="D28" s="3"/>
      <c r="E28" s="3"/>
      <c r="F28" s="1"/>
      <c r="G28" s="1"/>
      <c r="H28" s="1"/>
      <c r="I28" s="1"/>
    </row>
    <row r="29" spans="1:17" x14ac:dyDescent="0.25">
      <c r="A29" s="1"/>
      <c r="B29" s="2"/>
      <c r="C29" s="1"/>
      <c r="D29" s="3"/>
      <c r="E29" s="3"/>
      <c r="F29" s="1"/>
      <c r="G29" s="1"/>
      <c r="H29" s="1"/>
      <c r="I29" s="1"/>
    </row>
    <row r="30" spans="1:17" x14ac:dyDescent="0.25">
      <c r="A30" s="1"/>
      <c r="B30" s="2"/>
      <c r="C30" s="1"/>
      <c r="D30" s="3"/>
      <c r="E30" s="3"/>
      <c r="F30" s="1"/>
      <c r="G30" s="1"/>
      <c r="H30" s="1"/>
      <c r="I30" s="1"/>
    </row>
    <row r="31" spans="1:17" x14ac:dyDescent="0.25">
      <c r="A31" s="1"/>
      <c r="B31" s="2"/>
      <c r="C31" s="1"/>
      <c r="D31" s="3"/>
      <c r="E31" s="3"/>
      <c r="F31" s="1"/>
      <c r="G31" s="1"/>
      <c r="H31" s="1"/>
      <c r="I31" s="1"/>
    </row>
    <row r="32" spans="1:17" x14ac:dyDescent="0.25">
      <c r="A32" s="1"/>
      <c r="B32" s="2"/>
      <c r="C32" s="1"/>
      <c r="D32" s="3"/>
      <c r="E32" s="3"/>
      <c r="F32" s="1"/>
      <c r="G32" s="1"/>
      <c r="H32" s="1"/>
      <c r="I32" s="1"/>
    </row>
    <row r="33" spans="1:9" x14ac:dyDescent="0.25">
      <c r="A33" s="1"/>
      <c r="B33" s="2"/>
      <c r="C33" s="1"/>
      <c r="D33" s="3"/>
      <c r="E33" s="3"/>
      <c r="F33" s="1"/>
      <c r="G33" s="1"/>
      <c r="H33" s="1"/>
      <c r="I33" s="1"/>
    </row>
    <row r="34" spans="1:9" x14ac:dyDescent="0.25">
      <c r="A34" s="1"/>
      <c r="B34" s="2"/>
      <c r="C34" s="1"/>
      <c r="D34" s="3"/>
      <c r="E34" s="3"/>
      <c r="F34" s="1"/>
      <c r="G34" s="1"/>
      <c r="H34" s="1"/>
      <c r="I34" s="1"/>
    </row>
    <row r="35" spans="1:9" x14ac:dyDescent="0.25">
      <c r="A35" s="1"/>
      <c r="B35" s="2"/>
      <c r="C35" s="1"/>
      <c r="D35" s="3"/>
      <c r="E35" s="3"/>
      <c r="F35" s="1"/>
      <c r="G35" s="1"/>
      <c r="H35" s="1"/>
      <c r="I35" s="1"/>
    </row>
    <row r="36" spans="1:9" x14ac:dyDescent="0.25">
      <c r="A36" s="1"/>
      <c r="B36" s="2"/>
      <c r="C36" s="1"/>
      <c r="D36" s="3"/>
      <c r="E36" s="3"/>
      <c r="F36" s="1"/>
      <c r="G36" s="1"/>
      <c r="H36" s="1"/>
      <c r="I36" s="1"/>
    </row>
    <row r="37" spans="1:9" x14ac:dyDescent="0.25">
      <c r="A37" s="1"/>
      <c r="B37" s="2"/>
      <c r="C37" s="1"/>
      <c r="D37" s="3"/>
      <c r="E37" s="3"/>
      <c r="F37" s="1"/>
      <c r="G37" s="1"/>
      <c r="H37" s="1"/>
      <c r="I37" s="1"/>
    </row>
    <row r="38" spans="1:9" x14ac:dyDescent="0.25">
      <c r="A38" s="1"/>
      <c r="B38" s="2"/>
      <c r="C38" s="1"/>
      <c r="D38" s="3"/>
      <c r="E38" s="3"/>
      <c r="F38" s="1"/>
      <c r="G38" s="1"/>
      <c r="H38" s="1"/>
      <c r="I38" s="1"/>
    </row>
    <row r="39" spans="1:9" x14ac:dyDescent="0.25">
      <c r="A39" s="1"/>
      <c r="B39" s="2"/>
      <c r="C39" s="1"/>
      <c r="D39" s="3"/>
      <c r="E39" s="3"/>
      <c r="F39" s="1"/>
      <c r="G39" s="1"/>
      <c r="H39" s="1"/>
      <c r="I39" s="1"/>
    </row>
    <row r="40" spans="1:9" x14ac:dyDescent="0.25">
      <c r="A40" s="1"/>
      <c r="B40" s="2"/>
      <c r="C40" s="1"/>
      <c r="D40" s="3"/>
      <c r="E40" s="3"/>
      <c r="F40" s="1"/>
      <c r="G40" s="1"/>
      <c r="H40" s="1"/>
      <c r="I40" s="1"/>
    </row>
    <row r="41" spans="1:9" x14ac:dyDescent="0.25">
      <c r="A41" s="1"/>
      <c r="B41" s="2"/>
      <c r="C41" s="1"/>
      <c r="D41" s="3"/>
      <c r="E41" s="3"/>
      <c r="F41" s="1"/>
      <c r="G41" s="1"/>
      <c r="H41" s="1"/>
      <c r="I41" s="1"/>
    </row>
  </sheetData>
  <sheetProtection algorithmName="SHA-512" hashValue="q5x0u5eWUjPZoEKS5KT9QkKF8nkeIYBAoVn2OKLUkmWwS9vR8l19SFtzry8OVVCc/pKWZpCWy1Rb7cJtGgXjZA==" saltValue="RZGBS+dbc8QAD/B1sb7Zbw==" spinCount="100000" sheet="1" objects="1" scenarios="1" formatCells="0" formatColumns="0" formatRows="0" insertColumns="0" insertRows="0" deleteRows="0"/>
  <conditionalFormatting sqref="D1 D22:D1048576">
    <cfRule type="duplicateValues" dxfId="2" priority="9"/>
  </conditionalFormatting>
  <conditionalFormatting sqref="D2:D21">
    <cfRule type="duplicateValues" dxfId="1" priority="2"/>
  </conditionalFormatting>
  <conditionalFormatting sqref="D2:D21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41">
      <formula1>"SIM,SWAP"</formula1>
    </dataValidation>
  </dataValidation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Lailoma Haidari</cp:lastModifiedBy>
  <dcterms:created xsi:type="dcterms:W3CDTF">2025-10-06T12:27:48Z</dcterms:created>
  <dcterms:modified xsi:type="dcterms:W3CDTF">2025-10-25T10:56:56Z</dcterms:modified>
</cp:coreProperties>
</file>